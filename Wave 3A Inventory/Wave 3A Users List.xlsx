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serco.sharepoint.com/sites/SA-TECH-TechnologyPMO-MG-SiteServersMigration/Shared Documents/Project Management/Data Sets/Capgemini Data Sets/Wave 3A Inventory/"/>
    </mc:Choice>
  </mc:AlternateContent>
  <xr:revisionPtr revIDLastSave="2" documentId="8_{D53DDEF9-64F0-454A-96D6-E691870CA37B}" xr6:coauthVersionLast="47" xr6:coauthVersionMax="47" xr10:uidLastSave="{9259FC92-55DC-4FE1-92C2-8C15AF0B7427}"/>
  <bookViews>
    <workbookView xWindow="-110" yWindow="-110" windowWidth="19420" windowHeight="11500" xr2:uid="{55E3D9D3-950E-4304-9180-7770CA4599C7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</calcChain>
</file>

<file path=xl/sharedStrings.xml><?xml version="1.0" encoding="utf-8"?>
<sst xmlns="http://schemas.openxmlformats.org/spreadsheetml/2006/main" count="92" uniqueCount="92">
  <si>
    <t>EMP Name</t>
  </si>
  <si>
    <t>Commercial UPN</t>
  </si>
  <si>
    <t>GCCH UPN</t>
  </si>
  <si>
    <t>Wave</t>
  </si>
  <si>
    <t>Migration Status</t>
  </si>
  <si>
    <t>Alexander Gurevitch</t>
  </si>
  <si>
    <t>Alexander.Gurevitch@serco-na.com</t>
  </si>
  <si>
    <t>Alexander.Gurevitch@serco-na.us</t>
  </si>
  <si>
    <t>Amit Chakradeo</t>
  </si>
  <si>
    <t>Amit.Chakradeo@serco-na.com</t>
  </si>
  <si>
    <t>Amit.Chakradeo@serco-na.us</t>
  </si>
  <si>
    <t>Anthony Allen</t>
  </si>
  <si>
    <t>Anthony.Allen@serco-na.com</t>
  </si>
  <si>
    <t>Anthony.Allen@serco-na.us</t>
  </si>
  <si>
    <t>Ashwin Kadabha</t>
  </si>
  <si>
    <t>Ashwin.Kadabha@serco-na.com</t>
  </si>
  <si>
    <t>Ashwin.Kadabha@serco-na.us</t>
  </si>
  <si>
    <t>Bradley Bridges</t>
  </si>
  <si>
    <t>Brad.Bridges@serco-na.com</t>
  </si>
  <si>
    <t>Brad.Bridges@serco-na.us</t>
  </si>
  <si>
    <t>Bruce McGregor</t>
  </si>
  <si>
    <t>Bruce.Mcgregor@serco-na.com</t>
  </si>
  <si>
    <t>Bruce.Mcgregor@serco-na.us</t>
  </si>
  <si>
    <t>Charles Kristofek</t>
  </si>
  <si>
    <t>Chuck.Kristofek@serco-na.com</t>
  </si>
  <si>
    <t>Chuck.Kristofek@serco-na.us</t>
  </si>
  <si>
    <t>Charles Tucker</t>
  </si>
  <si>
    <t>Charles.Tucker@serco-na.com</t>
  </si>
  <si>
    <t>Charles.Tucker@serco-na.us</t>
  </si>
  <si>
    <t>Christopher Turner</t>
  </si>
  <si>
    <t>Christopher.Turner2@serco-na.com</t>
  </si>
  <si>
    <t>Christopher.Turner2@serco-na.us</t>
  </si>
  <si>
    <t>David Dillon</t>
  </si>
  <si>
    <t>David.Dillon@serco-na.com</t>
  </si>
  <si>
    <t>David.Dillon@serco-na.us</t>
  </si>
  <si>
    <t>Devin Leive</t>
  </si>
  <si>
    <t>Devin.Leive@serco-na.com</t>
  </si>
  <si>
    <t>Devin.Leive@serco-na.us</t>
  </si>
  <si>
    <t>Jacob Viana</t>
  </si>
  <si>
    <t>Jacob.Viana@serco-na.com</t>
  </si>
  <si>
    <t>Jacob.Viana@serco-na.us</t>
  </si>
  <si>
    <t>Jacob Walters</t>
  </si>
  <si>
    <t>Jacob.Walters@serco-na.com</t>
  </si>
  <si>
    <t>Jacob.Walters@serco-na.us</t>
  </si>
  <si>
    <t>James Bowden</t>
  </si>
  <si>
    <t>James.Bowden@serco-na.com</t>
  </si>
  <si>
    <t>James.Bowden@serco-na.us</t>
  </si>
  <si>
    <t>Jim Chen</t>
  </si>
  <si>
    <t>Jim.Chen@serco-na.com</t>
  </si>
  <si>
    <t>Jim.Chen@serco-na.us</t>
  </si>
  <si>
    <t>Joanna Graham</t>
  </si>
  <si>
    <t>Joanna.Graham@serco-na.com</t>
  </si>
  <si>
    <t>Joanna.Graham@serco-na.us</t>
  </si>
  <si>
    <t>Kevin Bidwell</t>
  </si>
  <si>
    <t>Kevin.Bidwell@serco-na.com</t>
  </si>
  <si>
    <t>Kevin.Bidwell@serco-na.us</t>
  </si>
  <si>
    <t>Lewis Simper</t>
  </si>
  <si>
    <t>Lewis.Simper@serco-na.com</t>
  </si>
  <si>
    <t>Lewis.Simper@serco-na.us</t>
  </si>
  <si>
    <t>Lisa Harris</t>
  </si>
  <si>
    <t>Lisa.Harris@serco-na.com</t>
  </si>
  <si>
    <t>Lisa.Harris@serco-na.us</t>
  </si>
  <si>
    <t>Meighan Altwies</t>
  </si>
  <si>
    <t>Meighan.Altwies@serco-na.com</t>
  </si>
  <si>
    <t>Meighan.Altwies@serco-na.us</t>
  </si>
  <si>
    <t>Michael Richard</t>
  </si>
  <si>
    <t>Michael.Richard1@serco-na.com</t>
  </si>
  <si>
    <t>Michael.Richard1@serco-na.us</t>
  </si>
  <si>
    <t>Nick Viar</t>
  </si>
  <si>
    <t>Nick.Viar@serco-na.com</t>
  </si>
  <si>
    <t>Nick.Viar@serco-na.us</t>
  </si>
  <si>
    <t>Raymond Vega</t>
  </si>
  <si>
    <t>Raymond.Vega@serco-na.com</t>
  </si>
  <si>
    <t>Raymond.Vega@serco-na.us</t>
  </si>
  <si>
    <t>Richard Crutchfield</t>
  </si>
  <si>
    <t>Richard.Crutchfield@serco-na.com</t>
  </si>
  <si>
    <t>Richard.Crutchfield@serco-na.us</t>
  </si>
  <si>
    <t>Richard Young</t>
  </si>
  <si>
    <t>Richard.Young@serco-na.com</t>
  </si>
  <si>
    <t>Richard.Young@serco-na.us</t>
  </si>
  <si>
    <t>Robert Smith</t>
  </si>
  <si>
    <t>Robert.Smith2@serco-na.com</t>
  </si>
  <si>
    <t>Robert.Smith2@serco-na.us</t>
  </si>
  <si>
    <t>Sang Nguyen</t>
  </si>
  <si>
    <t>Sang.Nguyen@serco-na.com</t>
  </si>
  <si>
    <t>Sang.Nguyen@serco-na.us</t>
  </si>
  <si>
    <t>Sunjit Bir</t>
  </si>
  <si>
    <t>Sunjit.Bir@serco-na.com</t>
  </si>
  <si>
    <t>Sunjit.Bir@serco-na.us</t>
  </si>
  <si>
    <t>Trent Funk</t>
  </si>
  <si>
    <t>Trent.Funk@serco-na.com</t>
  </si>
  <si>
    <t>Trent.Funk@serco-na.us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</si>
</sst>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M365%20MASTER%20Migration%20Mapping%20GCCH.xlsx" TargetMode="External"/><Relationship Id="rId2" Type="http://schemas.openxmlformats.org/officeDocument/2006/relationships/externalLinkPath" Target="https://serco.sharepoint.com/sites/SA-TECH-TechnologyPMO-MG-SiteServersMigration/Shared%20Documents/Project%20Management/Data%20Sets/M365%20MASTER%20Migration%20Mapping%20GCCH.xlsx" TargetMode="External"/><Relationship Id="rId1" Type="http://schemas.openxmlformats.org/officeDocument/2006/relationships/externalLinkPath" Target="/sites/SA-TECH-TechnologyPMO-MG-SiteServersMigration/Shared%20Documents/Project%20Management/Data%20Sets/M365%20MASTER%20Migration%20Mapping%20GC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TEST"/>
      <sheetName val="COMMs"/>
      <sheetName val="PILOT Wave"/>
      <sheetName val="Wave 1"/>
      <sheetName val="Wave 2A"/>
      <sheetName val="Wave 2B"/>
      <sheetName val="Wave 3A"/>
      <sheetName val="Do not Cut Over"/>
      <sheetName val="Amanda"/>
      <sheetName val="QuestALL"/>
      <sheetName val="Pilot Wave-Shared Mailboxes"/>
      <sheetName val="Software Requests"/>
      <sheetName val="For John Mullen"/>
      <sheetName val="Sasha"/>
      <sheetName val="Address Export 4.22.26"/>
      <sheetName val="M365 MASTER Migration Mapping 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CB436-3C0A-495D-8AC3-35E22882FBA9}">
  <dimension ref="A1:E30"/>
  <sheetViews>
    <sheetView tabSelected="1" workbookViewId="0">
      <selection activeCell="E11" sqref="E11"/>
    </sheetView>
  </sheetViews>
  <sheetFormatPr defaultColWidth="50.42578125" defaultRowHeight="14.45"/>
  <cols>
    <col min="1" max="1" width="21.42578125" customWidth="1"/>
    <col min="2" max="2" width="30.5703125" bestFit="1" customWidth="1"/>
    <col min="3" max="3" width="28.85546875" bestFit="1" customWidth="1"/>
    <col min="4" max="4" width="8.28515625" bestFit="1" customWidth="1"/>
    <col min="5" max="5" width="19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t="s">
        <v>7</v>
      </c>
      <c r="D2" t="e">
        <f>_xlfn.XLOOKUP(B2,[1]!Table3[Source UPN],[1]!Table3[Wave])</f>
        <v>#N/A</v>
      </c>
      <c r="E2" t="e">
        <f>_xlfn.XLOOKUP(B2,[1]!Table3[Source UPN],[1]!Table3[Action])</f>
        <v>#N/A</v>
      </c>
    </row>
    <row r="3" spans="1:5">
      <c r="A3" s="3" t="s">
        <v>8</v>
      </c>
      <c r="B3" s="3" t="s">
        <v>9</v>
      </c>
      <c r="C3" t="s">
        <v>10</v>
      </c>
      <c r="D3" t="str">
        <f>_xlfn.XLOOKUP(B3,[1]!Table3[Source UPN],[1]!Table3[Wave])</f>
        <v>Wave 1</v>
      </c>
      <c r="E3" t="str">
        <f>_xlfn.XLOOKUP(B3,[1]!Table3[Source UPN],[1]!Table3[Action])</f>
        <v>Mapped</v>
      </c>
    </row>
    <row r="4" spans="1:5">
      <c r="A4" s="3" t="s">
        <v>11</v>
      </c>
      <c r="B4" s="3" t="s">
        <v>12</v>
      </c>
      <c r="C4" t="s">
        <v>13</v>
      </c>
      <c r="D4" t="e">
        <f>_xlfn.XLOOKUP(B4,[1]!Table3[Source UPN],[1]!Table3[Wave])</f>
        <v>#N/A</v>
      </c>
      <c r="E4" t="e">
        <f>_xlfn.XLOOKUP(B4,[1]!Table3[Source UPN],[1]!Table3[Action])</f>
        <v>#N/A</v>
      </c>
    </row>
    <row r="5" spans="1:5">
      <c r="A5" s="3" t="s">
        <v>14</v>
      </c>
      <c r="B5" s="3" t="s">
        <v>15</v>
      </c>
      <c r="C5" t="s">
        <v>16</v>
      </c>
      <c r="D5" t="e">
        <f>_xlfn.XLOOKUP(B5,[1]!Table3[Source UPN],[1]!Table3[Wave])</f>
        <v>#N/A</v>
      </c>
      <c r="E5" t="e">
        <f>_xlfn.XLOOKUP(B5,[1]!Table3[Source UPN],[1]!Table3[Action])</f>
        <v>#N/A</v>
      </c>
    </row>
    <row r="6" spans="1:5">
      <c r="A6" s="3" t="s">
        <v>17</v>
      </c>
      <c r="B6" s="3" t="s">
        <v>18</v>
      </c>
      <c r="C6" t="s">
        <v>19</v>
      </c>
      <c r="D6" t="str">
        <f>_xlfn.XLOOKUP(B6,[1]!Table3[Source UPN],[1]!Table3[Wave])</f>
        <v>Wave 1</v>
      </c>
      <c r="E6" t="str">
        <f>_xlfn.XLOOKUP(B6,[1]!Table3[Source UPN],[1]!Table3[Action])</f>
        <v>Mapped</v>
      </c>
    </row>
    <row r="7" spans="1:5">
      <c r="A7" s="3" t="s">
        <v>20</v>
      </c>
      <c r="B7" s="3" t="s">
        <v>21</v>
      </c>
      <c r="C7" t="s">
        <v>22</v>
      </c>
      <c r="D7" t="str">
        <f>_xlfn.XLOOKUP(B7,[1]!Table3[Source UPN],[1]!Table3[Wave])</f>
        <v>Wave 1</v>
      </c>
      <c r="E7" t="str">
        <f>_xlfn.XLOOKUP(B7,[1]!Table3[Source UPN],[1]!Table3[Action])</f>
        <v>Mapped</v>
      </c>
    </row>
    <row r="8" spans="1:5">
      <c r="A8" s="3" t="s">
        <v>23</v>
      </c>
      <c r="B8" s="3" t="s">
        <v>24</v>
      </c>
      <c r="C8" t="s">
        <v>25</v>
      </c>
      <c r="D8" t="e">
        <f>_xlfn.XLOOKUP(B8,[1]!Table3[Source UPN],[1]!Table3[Wave])</f>
        <v>#N/A</v>
      </c>
      <c r="E8" t="e">
        <f>_xlfn.XLOOKUP(B8,[1]!Table3[Source UPN],[1]!Table3[Action])</f>
        <v>#N/A</v>
      </c>
    </row>
    <row r="9" spans="1:5">
      <c r="A9" s="3" t="s">
        <v>26</v>
      </c>
      <c r="B9" s="3" t="s">
        <v>27</v>
      </c>
      <c r="C9" t="s">
        <v>28</v>
      </c>
      <c r="D9" t="str">
        <f>_xlfn.XLOOKUP(B9,[1]!Table3[Source UPN],[1]!Table3[Wave])</f>
        <v>Wave 1</v>
      </c>
      <c r="E9" t="str">
        <f>_xlfn.XLOOKUP(B9,[1]!Table3[Source UPN],[1]!Table3[Action])</f>
        <v>Mapped</v>
      </c>
    </row>
    <row r="10" spans="1:5">
      <c r="A10" s="3" t="s">
        <v>29</v>
      </c>
      <c r="B10" s="3" t="s">
        <v>30</v>
      </c>
      <c r="C10" t="s">
        <v>31</v>
      </c>
      <c r="D10" t="str">
        <f>_xlfn.XLOOKUP(B10,[1]!Table3[Source UPN],[1]!Table3[Wave])</f>
        <v>Wave 1</v>
      </c>
      <c r="E10" t="str">
        <f>_xlfn.XLOOKUP(B10,[1]!Table3[Source UPN],[1]!Table3[Action])</f>
        <v>Mapped</v>
      </c>
    </row>
    <row r="11" spans="1:5">
      <c r="A11" s="3" t="s">
        <v>32</v>
      </c>
      <c r="B11" s="3" t="s">
        <v>33</v>
      </c>
      <c r="C11" t="s">
        <v>34</v>
      </c>
      <c r="D11" t="e">
        <f>_xlfn.XLOOKUP(B11,[1]!Table3[Source UPN],[1]!Table3[Wave])</f>
        <v>#N/A</v>
      </c>
      <c r="E11" t="e">
        <f>_xlfn.XLOOKUP(B11,[1]!Table3[Source UPN],[1]!Table3[Action])</f>
        <v>#N/A</v>
      </c>
    </row>
    <row r="12" spans="1:5">
      <c r="A12" s="3" t="s">
        <v>35</v>
      </c>
      <c r="B12" s="3" t="s">
        <v>36</v>
      </c>
      <c r="C12" t="s">
        <v>37</v>
      </c>
      <c r="D12" t="str">
        <f>_xlfn.XLOOKUP(B12,[1]!Table3[Source UPN],[1]!Table3[Wave])</f>
        <v>Wave 1</v>
      </c>
      <c r="E12" t="str">
        <f>_xlfn.XLOOKUP(B12,[1]!Table3[Source UPN],[1]!Table3[Action])</f>
        <v>Mapped</v>
      </c>
    </row>
    <row r="13" spans="1:5">
      <c r="A13" s="3" t="s">
        <v>38</v>
      </c>
      <c r="B13" s="3" t="s">
        <v>39</v>
      </c>
      <c r="C13" t="s">
        <v>40</v>
      </c>
      <c r="D13" t="e">
        <f>_xlfn.XLOOKUP(B13,[1]!Table3[Source UPN],[1]!Table3[Wave])</f>
        <v>#N/A</v>
      </c>
      <c r="E13" t="e">
        <f>_xlfn.XLOOKUP(B13,[1]!Table3[Source UPN],[1]!Table3[Action])</f>
        <v>#N/A</v>
      </c>
    </row>
    <row r="14" spans="1:5">
      <c r="A14" s="3" t="s">
        <v>41</v>
      </c>
      <c r="B14" s="3" t="s">
        <v>42</v>
      </c>
      <c r="C14" t="s">
        <v>43</v>
      </c>
      <c r="D14" t="str">
        <f>_xlfn.XLOOKUP(B14,[1]!Table3[Source UPN],[1]!Table3[Wave])</f>
        <v>Wave 1</v>
      </c>
      <c r="E14" t="str">
        <f>_xlfn.XLOOKUP(B14,[1]!Table3[Source UPN],[1]!Table3[Action])</f>
        <v>Mapped</v>
      </c>
    </row>
    <row r="15" spans="1:5">
      <c r="A15" s="3" t="s">
        <v>44</v>
      </c>
      <c r="B15" s="3" t="s">
        <v>45</v>
      </c>
      <c r="C15" t="s">
        <v>46</v>
      </c>
      <c r="D15" t="str">
        <f>_xlfn.XLOOKUP(B15,[1]!Table3[Source UPN],[1]!Table3[Wave])</f>
        <v>Wave 1</v>
      </c>
      <c r="E15" t="str">
        <f>_xlfn.XLOOKUP(B15,[1]!Table3[Source UPN],[1]!Table3[Action])</f>
        <v>Mapped</v>
      </c>
    </row>
    <row r="16" spans="1:5">
      <c r="A16" s="3" t="s">
        <v>47</v>
      </c>
      <c r="B16" s="3" t="s">
        <v>48</v>
      </c>
      <c r="C16" t="s">
        <v>49</v>
      </c>
      <c r="D16" t="str">
        <f>_xlfn.XLOOKUP(B16,[1]!Table3[Source UPN],[1]!Table3[Wave])</f>
        <v>Wave 1</v>
      </c>
      <c r="E16" t="str">
        <f>_xlfn.XLOOKUP(B16,[1]!Table3[Source UPN],[1]!Table3[Action])</f>
        <v>Mapped</v>
      </c>
    </row>
    <row r="17" spans="1:5">
      <c r="A17" s="3" t="s">
        <v>50</v>
      </c>
      <c r="B17" s="3" t="s">
        <v>51</v>
      </c>
      <c r="C17" t="s">
        <v>52</v>
      </c>
      <c r="D17" t="e">
        <f>_xlfn.XLOOKUP(B17,[1]!Table3[Source UPN],[1]!Table3[Wave])</f>
        <v>#N/A</v>
      </c>
      <c r="E17" t="e">
        <f>_xlfn.XLOOKUP(B17,[1]!Table3[Source UPN],[1]!Table3[Action])</f>
        <v>#N/A</v>
      </c>
    </row>
    <row r="18" spans="1:5">
      <c r="A18" s="3" t="s">
        <v>53</v>
      </c>
      <c r="B18" s="3" t="s">
        <v>54</v>
      </c>
      <c r="C18" t="s">
        <v>55</v>
      </c>
      <c r="D18" t="str">
        <f>_xlfn.XLOOKUP(B18,[1]!Table3[Source UPN],[1]!Table3[Wave])</f>
        <v>Wave 1</v>
      </c>
      <c r="E18" t="str">
        <f>_xlfn.XLOOKUP(B18,[1]!Table3[Source UPN],[1]!Table3[Action])</f>
        <v>Mapped</v>
      </c>
    </row>
    <row r="19" spans="1:5">
      <c r="A19" s="3" t="s">
        <v>56</v>
      </c>
      <c r="B19" s="3" t="s">
        <v>57</v>
      </c>
      <c r="C19" t="s">
        <v>58</v>
      </c>
      <c r="D19" t="e">
        <f>_xlfn.XLOOKUP(B19,[1]!Table3[Source UPN],[1]!Table3[Wave])</f>
        <v>#N/A</v>
      </c>
      <c r="E19" t="e">
        <f>_xlfn.XLOOKUP(B19,[1]!Table3[Source UPN],[1]!Table3[Action])</f>
        <v>#N/A</v>
      </c>
    </row>
    <row r="20" spans="1:5">
      <c r="A20" s="3" t="s">
        <v>59</v>
      </c>
      <c r="B20" s="3" t="s">
        <v>60</v>
      </c>
      <c r="C20" t="s">
        <v>61</v>
      </c>
      <c r="D20" t="str">
        <f>_xlfn.XLOOKUP(B20,[1]!Table3[Source UPN],[1]!Table3[Wave])</f>
        <v>Wave 1</v>
      </c>
      <c r="E20" t="str">
        <f>_xlfn.XLOOKUP(B20,[1]!Table3[Source UPN],[1]!Table3[Action])</f>
        <v>Mapped</v>
      </c>
    </row>
    <row r="21" spans="1:5">
      <c r="A21" s="3" t="s">
        <v>62</v>
      </c>
      <c r="B21" s="3" t="s">
        <v>63</v>
      </c>
      <c r="C21" t="s">
        <v>64</v>
      </c>
      <c r="D21" t="str">
        <f>_xlfn.XLOOKUP(B21,[1]!Table3[Source UPN],[1]!Table3[Wave])</f>
        <v>Wave 1</v>
      </c>
      <c r="E21" t="str">
        <f>_xlfn.XLOOKUP(B21,[1]!Table3[Source UPN],[1]!Table3[Action])</f>
        <v>Mapped</v>
      </c>
    </row>
    <row r="22" spans="1:5">
      <c r="A22" s="3" t="s">
        <v>65</v>
      </c>
      <c r="B22" s="3" t="s">
        <v>66</v>
      </c>
      <c r="C22" t="s">
        <v>67</v>
      </c>
      <c r="D22" t="str">
        <f>_xlfn.XLOOKUP(B22,[1]!Table3[Source UPN],[1]!Table3[Wave])</f>
        <v>Wave 1</v>
      </c>
      <c r="E22" t="str">
        <f>_xlfn.XLOOKUP(B22,[1]!Table3[Source UPN],[1]!Table3[Action])</f>
        <v>Mapped</v>
      </c>
    </row>
    <row r="23" spans="1:5">
      <c r="A23" s="3" t="s">
        <v>68</v>
      </c>
      <c r="B23" s="3" t="s">
        <v>69</v>
      </c>
      <c r="C23" t="s">
        <v>70</v>
      </c>
      <c r="D23" t="e">
        <f>_xlfn.XLOOKUP(B23,[1]!Table3[Source UPN],[1]!Table3[Wave])</f>
        <v>#N/A</v>
      </c>
      <c r="E23" t="e">
        <f>_xlfn.XLOOKUP(B23,[1]!Table3[Source UPN],[1]!Table3[Action])</f>
        <v>#N/A</v>
      </c>
    </row>
    <row r="24" spans="1:5">
      <c r="A24" s="3" t="s">
        <v>71</v>
      </c>
      <c r="B24" s="3" t="s">
        <v>72</v>
      </c>
      <c r="C24" t="s">
        <v>73</v>
      </c>
      <c r="D24" t="e">
        <f>_xlfn.XLOOKUP(B24,[1]!Table3[Source UPN],[1]!Table3[Wave])</f>
        <v>#N/A</v>
      </c>
      <c r="E24" t="e">
        <f>_xlfn.XLOOKUP(B24,[1]!Table3[Source UPN],[1]!Table3[Action])</f>
        <v>#N/A</v>
      </c>
    </row>
    <row r="25" spans="1:5">
      <c r="A25" s="3" t="s">
        <v>74</v>
      </c>
      <c r="B25" s="3" t="s">
        <v>75</v>
      </c>
      <c r="C25" t="s">
        <v>76</v>
      </c>
      <c r="D25" t="e">
        <f>_xlfn.XLOOKUP(B25,[1]!Table3[Source UPN],[1]!Table3[Wave])</f>
        <v>#N/A</v>
      </c>
      <c r="E25" t="e">
        <f>_xlfn.XLOOKUP(B25,[1]!Table3[Source UPN],[1]!Table3[Action])</f>
        <v>#N/A</v>
      </c>
    </row>
    <row r="26" spans="1:5">
      <c r="A26" s="3" t="s">
        <v>77</v>
      </c>
      <c r="B26" s="3" t="s">
        <v>78</v>
      </c>
      <c r="C26" t="s">
        <v>79</v>
      </c>
      <c r="D26" t="str">
        <f>_xlfn.XLOOKUP(B26,[1]!Table3[Source UPN],[1]!Table3[Wave])</f>
        <v>Wave 1</v>
      </c>
      <c r="E26" t="str">
        <f>_xlfn.XLOOKUP(B26,[1]!Table3[Source UPN],[1]!Table3[Action])</f>
        <v>Mapped</v>
      </c>
    </row>
    <row r="27" spans="1:5">
      <c r="A27" s="3" t="s">
        <v>80</v>
      </c>
      <c r="B27" s="3" t="s">
        <v>81</v>
      </c>
      <c r="C27" t="s">
        <v>82</v>
      </c>
      <c r="D27" t="e">
        <f>_xlfn.XLOOKUP(B27,[1]!Table3[Source UPN],[1]!Table3[Wave])</f>
        <v>#N/A</v>
      </c>
      <c r="E27" t="e">
        <f>_xlfn.XLOOKUP(B27,[1]!Table3[Source UPN],[1]!Table3[Action])</f>
        <v>#N/A</v>
      </c>
    </row>
    <row r="28" spans="1:5">
      <c r="A28" s="3" t="s">
        <v>83</v>
      </c>
      <c r="B28" s="3" t="s">
        <v>84</v>
      </c>
      <c r="C28" t="s">
        <v>85</v>
      </c>
      <c r="D28" t="str">
        <f>_xlfn.XLOOKUP(B28,[1]!Table3[Source UPN],[1]!Table3[Wave])</f>
        <v>Wave 1</v>
      </c>
      <c r="E28" t="str">
        <f>_xlfn.XLOOKUP(B28,[1]!Table3[Source UPN],[1]!Table3[Action])</f>
        <v>Mapped</v>
      </c>
    </row>
    <row r="29" spans="1:5">
      <c r="A29" s="3" t="s">
        <v>86</v>
      </c>
      <c r="B29" s="3" t="s">
        <v>87</v>
      </c>
      <c r="C29" t="s">
        <v>88</v>
      </c>
      <c r="D29" t="str">
        <f>_xlfn.XLOOKUP(B29,[1]!Table3[Source UPN],[1]!Table3[Wave])</f>
        <v>Wave 1</v>
      </c>
      <c r="E29" t="str">
        <f>_xlfn.XLOOKUP(B29,[1]!Table3[Source UPN],[1]!Table3[Action])</f>
        <v>Mapped</v>
      </c>
    </row>
    <row r="30" spans="1:5">
      <c r="A30" s="3" t="s">
        <v>89</v>
      </c>
      <c r="B30" s="3" t="s">
        <v>90</v>
      </c>
      <c r="C30" t="s">
        <v>91</v>
      </c>
      <c r="D30" t="str">
        <f>_xlfn.XLOOKUP(B30,[1]!Table3[Source UPN],[1]!Table3[Wave])</f>
        <v>Wave 1</v>
      </c>
      <c r="E30" t="str">
        <f>_xlfn.XLOOKUP(B30,[1]!Table3[Source UPN],[1]!Table3[Action])</f>
        <v>Mapped</v>
      </c>
    </row>
  </sheetData>
  <autoFilter ref="A1:E30" xr:uid="{A6BCB436-3C0A-495D-8AC3-35E22882FBA9}"/>
  <pageMargins left="0.7" right="0.7" top="0.75" bottom="0.75" header="0.3" footer="0.3"/>
  <headerFooter>
    <oddHeader>&amp;C&amp;"Aptos"&amp;10&amp;K737373 Serco Business&amp;1#_x000D_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FC7902C1D6843A9CAA8F84DCEFD35" ma:contentTypeVersion="3" ma:contentTypeDescription="Create a new document." ma:contentTypeScope="" ma:versionID="f65e138b43ba3757637c6c0d5aaf736f">
  <xsd:schema xmlns:xsd="http://www.w3.org/2001/XMLSchema" xmlns:xs="http://www.w3.org/2001/XMLSchema" xmlns:p="http://schemas.microsoft.com/office/2006/metadata/properties" xmlns:ns2="0232d279-41b1-4cd2-80f7-7b8932fa5a49" targetNamespace="http://schemas.microsoft.com/office/2006/metadata/properties" ma:root="true" ma:fieldsID="54e83d829006af0169c24484f01a8768" ns2:_="">
    <xsd:import namespace="0232d279-41b1-4cd2-80f7-7b8932fa5a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32d279-41b1-4cd2-80f7-7b8932fa5a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4B7BB5-71F2-40F1-933B-CB912BC1963C}"/>
</file>

<file path=customXml/itemProps2.xml><?xml version="1.0" encoding="utf-8"?>
<ds:datastoreItem xmlns:ds="http://schemas.openxmlformats.org/officeDocument/2006/customXml" ds:itemID="{AC740C83-68CD-42A8-B2C9-203A2AD8DCB5}"/>
</file>

<file path=customXml/itemProps3.xml><?xml version="1.0" encoding="utf-8"?>
<ds:datastoreItem xmlns:ds="http://schemas.openxmlformats.org/officeDocument/2006/customXml" ds:itemID="{1D7BB1F8-B605-444A-99C1-05A572BD81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Kimball, Amy - CTR</dc:creator>
  <cp:keywords/>
  <dc:description/>
  <cp:lastModifiedBy>Burns, Christopher (Serco NA) - CTR</cp:lastModifiedBy>
  <cp:revision/>
  <dcterms:created xsi:type="dcterms:W3CDTF">2026-05-20T17:43:49Z</dcterms:created>
  <dcterms:modified xsi:type="dcterms:W3CDTF">2026-05-21T17:49:24Z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fb369a-307f-449b-a188-56348c6f1760_Enabled">
    <vt:lpwstr>true</vt:lpwstr>
  </property>
  <property fmtid="{D5CDD505-2E9C-101B-9397-08002B2CF9AE}" pid="3" name="MSIP_Label_d6fb369a-307f-449b-a188-56348c6f1760_SetDate">
    <vt:lpwstr>2026-05-20T17:56:51Z</vt:lpwstr>
  </property>
  <property fmtid="{D5CDD505-2E9C-101B-9397-08002B2CF9AE}" pid="4" name="MSIP_Label_d6fb369a-307f-449b-a188-56348c6f1760_Method">
    <vt:lpwstr>Standard</vt:lpwstr>
  </property>
  <property fmtid="{D5CDD505-2E9C-101B-9397-08002B2CF9AE}" pid="5" name="MSIP_Label_d6fb369a-307f-449b-a188-56348c6f1760_Name">
    <vt:lpwstr>d6fb369a-307f-449b-a188-56348c6f1760</vt:lpwstr>
  </property>
  <property fmtid="{D5CDD505-2E9C-101B-9397-08002B2CF9AE}" pid="6" name="MSIP_Label_d6fb369a-307f-449b-a188-56348c6f1760_SiteId">
    <vt:lpwstr>f93616dd-45a6-40c8-9e29-adab2fb5f25c</vt:lpwstr>
  </property>
  <property fmtid="{D5CDD505-2E9C-101B-9397-08002B2CF9AE}" pid="7" name="MSIP_Label_d6fb369a-307f-449b-a188-56348c6f1760_ActionId">
    <vt:lpwstr>13aa3dea-b6a3-4ebc-ba97-3bada4fa33c8</vt:lpwstr>
  </property>
  <property fmtid="{D5CDD505-2E9C-101B-9397-08002B2CF9AE}" pid="8" name="MSIP_Label_d6fb369a-307f-449b-a188-56348c6f1760_ContentBits">
    <vt:lpwstr>1</vt:lpwstr>
  </property>
  <property fmtid="{D5CDD505-2E9C-101B-9397-08002B2CF9AE}" pid="9" name="MSIP_Label_d6fb369a-307f-449b-a188-56348c6f1760_Tag">
    <vt:lpwstr>10, 3, 0, 1</vt:lpwstr>
  </property>
  <property fmtid="{D5CDD505-2E9C-101B-9397-08002B2CF9AE}" pid="10" name="ContentTypeId">
    <vt:lpwstr>0x010100B6EFC7902C1D6843A9CAA8F84DCEFD35</vt:lpwstr>
  </property>
</Properties>
</file>